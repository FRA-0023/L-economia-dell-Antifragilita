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003f\Downloads\"/>
    </mc:Choice>
  </mc:AlternateContent>
  <xr:revisionPtr revIDLastSave="0" documentId="13_ncr:1_{E51E1CE2-7CD0-40C0-A8F8-BBDBA5333BA5}" xr6:coauthVersionLast="47" xr6:coauthVersionMax="47" xr10:uidLastSave="{00000000-0000-0000-0000-000000000000}"/>
  <bookViews>
    <workbookView xWindow="28680" yWindow="-120" windowWidth="20730" windowHeight="11040" firstSheet="2" activeTab="4" xr2:uid="{00000000-000D-0000-FFFF-FFFF00000000}"/>
  </bookViews>
  <sheets>
    <sheet name="METADATI" sheetId="1" r:id="rId1"/>
    <sheet name="PROVINCE" sheetId="2" r:id="rId2"/>
    <sheet name="PROFESSIONI LVL1 ESCO" sheetId="3" r:id="rId3"/>
    <sheet name="MACRO SETTORE" sheetId="4" r:id="rId4"/>
    <sheet name="COMPETENZE ULT.12 MESI" sheetId="5" r:id="rId5"/>
    <sheet name="COMPETENZE 5ANNI PRIM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5" l="1"/>
  <c r="C13" i="5"/>
  <c r="D13" i="5"/>
  <c r="E8" i="5"/>
  <c r="E4" i="5"/>
  <c r="E5" i="5"/>
  <c r="E10" i="5"/>
  <c r="E3" i="5"/>
  <c r="E11" i="5"/>
  <c r="E6" i="5"/>
  <c r="E2" i="5"/>
  <c r="E9" i="5"/>
  <c r="E7" i="5"/>
</calcChain>
</file>

<file path=xl/sharedStrings.xml><?xml version="1.0" encoding="utf-8"?>
<sst xmlns="http://schemas.openxmlformats.org/spreadsheetml/2006/main" count="81" uniqueCount="49">
  <si>
    <t>METADATI</t>
  </si>
  <si>
    <t>ANNUNCI DI LAVORO PUBBLICATI ONLINE - COMPETENZE_x000D_
Dati scaricati il: 16/6/2025_x000D_
Periodo di riferimento: da Gennaio 2024 a Dicembre 2024_x000D_
Ambito di specializzazione: BIGDATA_x000D_
Macrofiliera:  TUTTE</t>
  </si>
  <si>
    <t>PROVINCIA</t>
  </si>
  <si>
    <t>ANNUNCI</t>
  </si>
  <si>
    <t>Rimini</t>
  </si>
  <si>
    <t>Reggio nell’Emilia</t>
  </si>
  <si>
    <t>Ravenna</t>
  </si>
  <si>
    <t>Parma</t>
  </si>
  <si>
    <t>Piacenza</t>
  </si>
  <si>
    <t>Modena</t>
  </si>
  <si>
    <t>Ferrara</t>
  </si>
  <si>
    <t>Forlì-Cesena</t>
  </si>
  <si>
    <t>Bologna</t>
  </si>
  <si>
    <t>ESCO LVL1</t>
  </si>
  <si>
    <t>IDESCO LVL1</t>
  </si>
  <si>
    <t>Conduttori di impianti e macchinari e addetti al montaggio</t>
  </si>
  <si>
    <t>8</t>
  </si>
  <si>
    <t>Artigiani e operai specializzati</t>
  </si>
  <si>
    <t>7</t>
  </si>
  <si>
    <t>Impiegati di ufficio</t>
  </si>
  <si>
    <t>4</t>
  </si>
  <si>
    <t>Professioni tecniche intermedie</t>
  </si>
  <si>
    <t>3</t>
  </si>
  <si>
    <t>Professioni intellettuali e scientifiche</t>
  </si>
  <si>
    <t>2</t>
  </si>
  <si>
    <t>Dirigenti</t>
  </si>
  <si>
    <t>1</t>
  </si>
  <si>
    <t>MACRO SETTORE</t>
  </si>
  <si>
    <t>INDUSTRIA E COSTRUZIONI</t>
  </si>
  <si>
    <t>SERVIZI</t>
  </si>
  <si>
    <t>AGRICOLTURA</t>
  </si>
  <si>
    <t>TIPOLOGIA COMPETENZE</t>
  </si>
  <si>
    <t>COMPETENZE</t>
  </si>
  <si>
    <t>% ANNUNCI</t>
  </si>
  <si>
    <t>Conoscenze</t>
  </si>
  <si>
    <t>MARKETING E VENDITE</t>
  </si>
  <si>
    <t>INGEGNERIA E TECNOLOGIA</t>
  </si>
  <si>
    <t>ECONOMIA E CONTABILITÀ</t>
  </si>
  <si>
    <t>PRODUZIONE E PROCESSI PRODUTTIVI</t>
  </si>
  <si>
    <t>SERVIZIO CLIENTI E SERVIZI ALLA PERSONA</t>
  </si>
  <si>
    <t>MEDIA E COMUNICAZIONE</t>
  </si>
  <si>
    <t>AMMINISTRAZIONE E MANAGEMENT</t>
  </si>
  <si>
    <t>LINGUE</t>
  </si>
  <si>
    <t>AMMINISTRAZIONE DEL PERSONALE E RISORSE UMANE</t>
  </si>
  <si>
    <t>COMPUTER ED ELETTRONICA</t>
  </si>
  <si>
    <t>COMPETENZE Oggi</t>
  </si>
  <si>
    <t>% ANNUNCI OGGI</t>
  </si>
  <si>
    <t>% ANNUNCI 5 ANNI FA</t>
  </si>
  <si>
    <t>Variazione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</si>
</sst>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0" fontId="0" fillId="0" borderId="0" xfId="1" applyNumberFormat="1" applyFont="1"/>
    <xf numFmtId="10" fontId="0" fillId="0" borderId="0" xfId="0" applyNumberFormat="1"/>
  </cellXfs>
  <cellStyles count="2">
    <cellStyle name="Normale" xfId="0" builtinId="0"/>
    <cellStyle name="Percentuale" xfId="1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/>
  </sheetViews>
  <sheetFormatPr defaultRowHeight="14.4" x14ac:dyDescent="0.3"/>
  <sheetData>
    <row r="1" spans="1:1" ht="15.6" x14ac:dyDescent="0.3">
      <c r="A1" t="s">
        <v>0</v>
      </c>
    </row>
    <row r="2" spans="1:1" ht="15.6" x14ac:dyDescent="0.3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sheetData>
    <row r="1" spans="1:2" ht="15.6" x14ac:dyDescent="0.3">
      <c r="A1" t="s">
        <v>2</v>
      </c>
      <c r="B1" t="s">
        <v>3</v>
      </c>
    </row>
    <row r="2" spans="1:2" ht="15.6" x14ac:dyDescent="0.3">
      <c r="A2" t="s">
        <v>4</v>
      </c>
      <c r="B2">
        <v>483</v>
      </c>
    </row>
    <row r="3" spans="1:2" ht="15.6" x14ac:dyDescent="0.3">
      <c r="A3" t="s">
        <v>5</v>
      </c>
      <c r="B3">
        <v>1513</v>
      </c>
    </row>
    <row r="4" spans="1:2" ht="15.6" x14ac:dyDescent="0.3">
      <c r="A4" t="s">
        <v>6</v>
      </c>
      <c r="B4">
        <v>876</v>
      </c>
    </row>
    <row r="5" spans="1:2" ht="15.6" x14ac:dyDescent="0.3">
      <c r="A5" t="s">
        <v>7</v>
      </c>
      <c r="B5">
        <v>2002</v>
      </c>
    </row>
    <row r="6" spans="1:2" ht="15.6" x14ac:dyDescent="0.3">
      <c r="A6" t="s">
        <v>8</v>
      </c>
      <c r="B6">
        <v>458</v>
      </c>
    </row>
    <row r="7" spans="1:2" ht="15.6" x14ac:dyDescent="0.3">
      <c r="A7" t="s">
        <v>9</v>
      </c>
      <c r="B7">
        <v>2171</v>
      </c>
    </row>
    <row r="8" spans="1:2" ht="15.6" x14ac:dyDescent="0.3">
      <c r="A8" t="s">
        <v>10</v>
      </c>
      <c r="B8">
        <v>393</v>
      </c>
    </row>
    <row r="9" spans="1:2" ht="15.6" x14ac:dyDescent="0.3">
      <c r="A9" t="s">
        <v>11</v>
      </c>
      <c r="B9">
        <v>965</v>
      </c>
    </row>
    <row r="10" spans="1:2" ht="15.6" x14ac:dyDescent="0.3">
      <c r="A10" t="s">
        <v>12</v>
      </c>
      <c r="B10">
        <v>5903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4" x14ac:dyDescent="0.3"/>
  <sheetData>
    <row r="1" spans="1:3" ht="15.6" x14ac:dyDescent="0.3">
      <c r="A1" t="s">
        <v>13</v>
      </c>
      <c r="B1" t="s">
        <v>14</v>
      </c>
      <c r="C1" t="s">
        <v>3</v>
      </c>
    </row>
    <row r="2" spans="1:3" ht="15.6" x14ac:dyDescent="0.3">
      <c r="A2" t="s">
        <v>15</v>
      </c>
      <c r="B2" t="s">
        <v>16</v>
      </c>
      <c r="C2">
        <v>32</v>
      </c>
    </row>
    <row r="3" spans="1:3" ht="15.6" x14ac:dyDescent="0.3">
      <c r="A3" t="s">
        <v>17</v>
      </c>
      <c r="B3" t="s">
        <v>18</v>
      </c>
      <c r="C3">
        <v>99</v>
      </c>
    </row>
    <row r="4" spans="1:3" ht="15.6" x14ac:dyDescent="0.3">
      <c r="A4" t="s">
        <v>19</v>
      </c>
      <c r="B4" t="s">
        <v>20</v>
      </c>
      <c r="C4">
        <v>1303</v>
      </c>
    </row>
    <row r="5" spans="1:3" ht="15.6" x14ac:dyDescent="0.3">
      <c r="A5" t="s">
        <v>21</v>
      </c>
      <c r="B5" t="s">
        <v>22</v>
      </c>
      <c r="C5">
        <v>2315</v>
      </c>
    </row>
    <row r="6" spans="1:3" ht="15.6" x14ac:dyDescent="0.3">
      <c r="A6" t="s">
        <v>23</v>
      </c>
      <c r="B6" t="s">
        <v>24</v>
      </c>
      <c r="C6">
        <v>10124</v>
      </c>
    </row>
    <row r="7" spans="1:3" ht="15.6" x14ac:dyDescent="0.3">
      <c r="A7" t="s">
        <v>25</v>
      </c>
      <c r="B7" t="s">
        <v>26</v>
      </c>
      <c r="C7">
        <v>1768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defaultRowHeight="14.4" x14ac:dyDescent="0.3"/>
  <sheetData>
    <row r="1" spans="1:2" ht="15.6" x14ac:dyDescent="0.3">
      <c r="A1" t="s">
        <v>27</v>
      </c>
      <c r="B1" t="s">
        <v>3</v>
      </c>
    </row>
    <row r="2" spans="1:2" ht="15.6" x14ac:dyDescent="0.3">
      <c r="A2" t="s">
        <v>28</v>
      </c>
      <c r="B2">
        <v>2564</v>
      </c>
    </row>
    <row r="3" spans="1:2" ht="15.6" x14ac:dyDescent="0.3">
      <c r="A3" t="s">
        <v>29</v>
      </c>
      <c r="B3">
        <v>12912</v>
      </c>
    </row>
    <row r="4" spans="1:2" ht="15.6" x14ac:dyDescent="0.3">
      <c r="A4" t="s">
        <v>30</v>
      </c>
      <c r="B4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tabSelected="1" workbookViewId="0">
      <selection activeCell="B1" sqref="B1:E11"/>
    </sheetView>
  </sheetViews>
  <sheetFormatPr defaultRowHeight="15.6" x14ac:dyDescent="0.3"/>
  <cols>
    <col min="1" max="1" width="21.8984375" bestFit="1" customWidth="1"/>
    <col min="2" max="2" width="47.296875" bestFit="1" customWidth="1"/>
    <col min="3" max="3" width="21.19921875" customWidth="1"/>
    <col min="4" max="4" width="18.796875" customWidth="1"/>
    <col min="5" max="5" width="18.3984375" customWidth="1"/>
  </cols>
  <sheetData>
    <row r="1" spans="1:5" x14ac:dyDescent="0.3">
      <c r="A1" t="s">
        <v>31</v>
      </c>
      <c r="B1" t="s">
        <v>45</v>
      </c>
      <c r="C1" t="s">
        <v>47</v>
      </c>
      <c r="D1" t="s">
        <v>46</v>
      </c>
      <c r="E1" t="s">
        <v>48</v>
      </c>
    </row>
    <row r="2" spans="1:5" x14ac:dyDescent="0.3">
      <c r="A2" t="s">
        <v>34</v>
      </c>
      <c r="B2" t="s">
        <v>43</v>
      </c>
      <c r="C2" s="1">
        <v>0.46941715782580223</v>
      </c>
      <c r="D2" s="1">
        <v>0.66095518189374081</v>
      </c>
      <c r="E2" s="1">
        <f>D2-C2</f>
        <v>0.19153802406793857</v>
      </c>
    </row>
    <row r="3" spans="1:5" x14ac:dyDescent="0.3">
      <c r="A3" t="s">
        <v>34</v>
      </c>
      <c r="B3" t="s">
        <v>40</v>
      </c>
      <c r="C3" s="1">
        <v>0.19803536345776032</v>
      </c>
      <c r="D3" s="1">
        <v>0.38776293075890289</v>
      </c>
      <c r="E3" s="1">
        <f>D3-C3</f>
        <v>0.18972756730114257</v>
      </c>
    </row>
    <row r="4" spans="1:5" x14ac:dyDescent="0.3">
      <c r="A4" t="s">
        <v>34</v>
      </c>
      <c r="B4" t="s">
        <v>37</v>
      </c>
      <c r="C4" s="1">
        <v>0.15075311067452521</v>
      </c>
      <c r="D4" s="1">
        <v>0.24633974809794773</v>
      </c>
      <c r="E4" s="1">
        <f>D4-C4</f>
        <v>9.5586637423422521E-2</v>
      </c>
    </row>
    <row r="5" spans="1:5" x14ac:dyDescent="0.3">
      <c r="A5" t="s">
        <v>34</v>
      </c>
      <c r="B5" t="s">
        <v>38</v>
      </c>
      <c r="C5" s="1">
        <v>0.18310412573673873</v>
      </c>
      <c r="D5" s="1">
        <v>0.27811521002493444</v>
      </c>
      <c r="E5" s="1">
        <f>D5-C5</f>
        <v>9.5011084288195713E-2</v>
      </c>
    </row>
    <row r="6" spans="1:5" x14ac:dyDescent="0.3">
      <c r="A6" t="s">
        <v>34</v>
      </c>
      <c r="B6" t="s">
        <v>42</v>
      </c>
      <c r="C6" s="1">
        <v>0.54145383104125733</v>
      </c>
      <c r="D6" s="1">
        <v>0.60667476504059847</v>
      </c>
      <c r="E6" s="1">
        <f>D6-C6</f>
        <v>6.5220933999341146E-2</v>
      </c>
    </row>
    <row r="7" spans="1:5" x14ac:dyDescent="0.3">
      <c r="A7" t="s">
        <v>34</v>
      </c>
      <c r="B7" t="s">
        <v>35</v>
      </c>
      <c r="C7" s="1">
        <v>0.10870988867059594</v>
      </c>
      <c r="D7" s="1">
        <v>0.17281503740170065</v>
      </c>
      <c r="E7" s="1">
        <f>D7-C7</f>
        <v>6.4105148731104705E-2</v>
      </c>
    </row>
    <row r="8" spans="1:5" x14ac:dyDescent="0.3">
      <c r="A8" t="s">
        <v>34</v>
      </c>
      <c r="B8" t="s">
        <v>36</v>
      </c>
      <c r="C8" s="1">
        <v>0.14184675834970531</v>
      </c>
      <c r="D8" s="1">
        <v>0.18438718751997951</v>
      </c>
      <c r="E8" s="1">
        <f>D8-C8</f>
        <v>4.2540429170274202E-2</v>
      </c>
    </row>
    <row r="9" spans="1:5" x14ac:dyDescent="0.3">
      <c r="A9" t="s">
        <v>34</v>
      </c>
      <c r="B9" t="s">
        <v>44</v>
      </c>
      <c r="C9" s="1">
        <v>0.7528487229862475</v>
      </c>
      <c r="D9" s="1">
        <v>0.71299789016047566</v>
      </c>
      <c r="E9" s="1">
        <f>D9-C9</f>
        <v>-3.9850832825771842E-2</v>
      </c>
    </row>
    <row r="10" spans="1:5" x14ac:dyDescent="0.3">
      <c r="A10" t="s">
        <v>34</v>
      </c>
      <c r="B10" t="s">
        <v>39</v>
      </c>
      <c r="C10" s="1">
        <v>0.37786509495743287</v>
      </c>
      <c r="D10" s="1">
        <v>0.31289559491081131</v>
      </c>
      <c r="E10" s="1">
        <f>D10-C10</f>
        <v>-6.4969500046621553E-2</v>
      </c>
    </row>
    <row r="11" spans="1:5" x14ac:dyDescent="0.3">
      <c r="A11" t="s">
        <v>34</v>
      </c>
      <c r="B11" t="s">
        <v>41</v>
      </c>
      <c r="C11" s="1">
        <v>0.50726915520628679</v>
      </c>
      <c r="D11" s="1">
        <v>0.3914071990281951</v>
      </c>
      <c r="E11" s="1">
        <f>D11-C11</f>
        <v>-0.1158619561780917</v>
      </c>
    </row>
    <row r="13" spans="1:5" x14ac:dyDescent="0.3">
      <c r="C13" s="2">
        <f>AVERAGE(C2:C11)</f>
        <v>0.34313032089063522</v>
      </c>
      <c r="D13" s="2">
        <f>AVERAGE(D2:D11)</f>
        <v>0.39543507448372867</v>
      </c>
      <c r="E13" s="2">
        <f>AVERAGE(E2:E11)</f>
        <v>5.2304753593093445E-2</v>
      </c>
    </row>
  </sheetData>
  <sortState xmlns:xlrd2="http://schemas.microsoft.com/office/spreadsheetml/2017/richdata2" ref="A2:E11">
    <sortCondition descending="1" ref="E2:E11"/>
  </sortState>
  <conditionalFormatting sqref="E2:E1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sqref="A1:C11"/>
    </sheetView>
  </sheetViews>
  <sheetFormatPr defaultRowHeight="14.4" x14ac:dyDescent="0.3"/>
  <sheetData>
    <row r="1" spans="1:3" ht="15.6" x14ac:dyDescent="0.3">
      <c r="A1" t="s">
        <v>31</v>
      </c>
      <c r="B1" t="s">
        <v>32</v>
      </c>
      <c r="C1" t="s">
        <v>33</v>
      </c>
    </row>
    <row r="2" spans="1:3" ht="15.6" x14ac:dyDescent="0.3">
      <c r="A2" t="s">
        <v>34</v>
      </c>
      <c r="B2" t="s">
        <v>35</v>
      </c>
      <c r="C2">
        <v>0.10870988867059594</v>
      </c>
    </row>
    <row r="3" spans="1:3" ht="15.6" x14ac:dyDescent="0.3">
      <c r="A3" t="s">
        <v>34</v>
      </c>
      <c r="B3" t="s">
        <v>36</v>
      </c>
      <c r="C3">
        <v>0.14184675834970531</v>
      </c>
    </row>
    <row r="4" spans="1:3" ht="15.6" x14ac:dyDescent="0.3">
      <c r="A4" t="s">
        <v>34</v>
      </c>
      <c r="B4" t="s">
        <v>37</v>
      </c>
      <c r="C4">
        <v>0.15075311067452521</v>
      </c>
    </row>
    <row r="5" spans="1:3" ht="15.6" x14ac:dyDescent="0.3">
      <c r="A5" t="s">
        <v>34</v>
      </c>
      <c r="B5" t="s">
        <v>38</v>
      </c>
      <c r="C5">
        <v>0.18310412573673873</v>
      </c>
    </row>
    <row r="6" spans="1:3" ht="15.6" x14ac:dyDescent="0.3">
      <c r="A6" t="s">
        <v>34</v>
      </c>
      <c r="B6" t="s">
        <v>40</v>
      </c>
      <c r="C6">
        <v>0.19803536345776032</v>
      </c>
    </row>
    <row r="7" spans="1:3" ht="15.6" x14ac:dyDescent="0.3">
      <c r="A7" t="s">
        <v>34</v>
      </c>
      <c r="B7" t="s">
        <v>39</v>
      </c>
      <c r="C7">
        <v>0.37786509495743287</v>
      </c>
    </row>
    <row r="8" spans="1:3" ht="15.6" x14ac:dyDescent="0.3">
      <c r="A8" t="s">
        <v>34</v>
      </c>
      <c r="B8" t="s">
        <v>43</v>
      </c>
      <c r="C8">
        <v>0.46941715782580223</v>
      </c>
    </row>
    <row r="9" spans="1:3" ht="15.6" x14ac:dyDescent="0.3">
      <c r="A9" t="s">
        <v>34</v>
      </c>
      <c r="B9" t="s">
        <v>41</v>
      </c>
      <c r="C9">
        <v>0.50726915520628679</v>
      </c>
    </row>
    <row r="10" spans="1:3" ht="15.6" x14ac:dyDescent="0.3">
      <c r="A10" t="s">
        <v>34</v>
      </c>
      <c r="B10" t="s">
        <v>42</v>
      </c>
      <c r="C10">
        <v>0.54145383104125733</v>
      </c>
    </row>
    <row r="11" spans="1:3" ht="15.6" x14ac:dyDescent="0.3">
      <c r="A11" t="s">
        <v>34</v>
      </c>
      <c r="B11" t="s">
        <v>44</v>
      </c>
      <c r="C11">
        <v>0.7528487229862475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METADATI</vt:lpstr>
      <vt:lpstr>PROVINCE</vt:lpstr>
      <vt:lpstr>PROFESSIONI LVL1 ESCO</vt:lpstr>
      <vt:lpstr>MACRO SETTORE</vt:lpstr>
      <vt:lpstr>COMPETENZE ULT.12 MESI</vt:lpstr>
      <vt:lpstr>COMPETENZE 5ANNI PRIMA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colombini</cp:lastModifiedBy>
  <dcterms:modified xsi:type="dcterms:W3CDTF">2025-06-18T08:55:21Z</dcterms:modified>
</cp:coreProperties>
</file>